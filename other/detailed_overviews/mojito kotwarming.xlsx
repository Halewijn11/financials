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ewijn\OneDrive\Documenten\financials\other\"/>
    </mc:Choice>
  </mc:AlternateContent>
  <xr:revisionPtr revIDLastSave="0" documentId="13_ncr:1_{0E91EF8B-4A8C-48B1-ACBE-51F707E91D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jito kotwarm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 s="1"/>
  <c r="G5" i="1"/>
  <c r="E4" i="1"/>
  <c r="F4" i="1" s="1"/>
  <c r="G4" i="1" s="1"/>
  <c r="G3" i="1"/>
  <c r="E3" i="1"/>
  <c r="F3" i="1" s="1"/>
  <c r="E2" i="1"/>
  <c r="F2" i="1" s="1"/>
  <c r="G2" i="1" s="1"/>
  <c r="G8" i="1" l="1"/>
</calcChain>
</file>

<file path=xl/sharedStrings.xml><?xml version="1.0" encoding="utf-8"?>
<sst xmlns="http://schemas.openxmlformats.org/spreadsheetml/2006/main" count="16" uniqueCount="16">
  <si>
    <t>wat</t>
  </si>
  <si>
    <t>hoeveelheid voor 1 mojito</t>
  </si>
  <si>
    <t>aantal moijtos</t>
  </si>
  <si>
    <t>witte rum</t>
  </si>
  <si>
    <t>hoeveel flessen nodig</t>
  </si>
  <si>
    <t>benodigde hoeveelheid</t>
  </si>
  <si>
    <t>totale kost</t>
  </si>
  <si>
    <t>bruiswater</t>
  </si>
  <si>
    <t>limoensap</t>
  </si>
  <si>
    <t>prijs voor 1 eenheid</t>
  </si>
  <si>
    <t>hoeveelheid van 1 eenheid</t>
  </si>
  <si>
    <t>aantal limoenen</t>
  </si>
  <si>
    <t>limoenen</t>
  </si>
  <si>
    <t>rietsuiker</t>
  </si>
  <si>
    <t>gemalen ijs</t>
  </si>
  <si>
    <t>35m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</si>
</sst>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J13" sqref="J13"/>
    </sheetView>
  </sheetViews>
  <sheetFormatPr defaultRowHeight="14.4" x14ac:dyDescent="0.3"/>
  <cols>
    <col min="1" max="1" width="11.109375" customWidth="1"/>
    <col min="2" max="2" width="20" customWidth="1"/>
    <col min="3" max="3" width="22.109375" customWidth="1"/>
    <col min="4" max="4" width="23.6640625" customWidth="1"/>
    <col min="5" max="5" width="19.77734375" customWidth="1"/>
    <col min="6" max="6" width="30" customWidth="1"/>
    <col min="7" max="7" width="11.21875" customWidth="1"/>
    <col min="10" max="10" width="13.44140625" customWidth="1"/>
  </cols>
  <sheetData>
    <row r="1" spans="1:10" x14ac:dyDescent="0.3">
      <c r="A1" t="s">
        <v>0</v>
      </c>
      <c r="B1" t="s">
        <v>9</v>
      </c>
      <c r="C1" t="s">
        <v>10</v>
      </c>
      <c r="D1" t="s">
        <v>1</v>
      </c>
      <c r="E1" t="s">
        <v>5</v>
      </c>
      <c r="F1" t="s">
        <v>4</v>
      </c>
      <c r="G1" t="s">
        <v>6</v>
      </c>
    </row>
    <row r="2" spans="1:10" x14ac:dyDescent="0.3">
      <c r="A2" t="s">
        <v>3</v>
      </c>
      <c r="B2">
        <v>10.99</v>
      </c>
      <c r="C2">
        <v>0.7</v>
      </c>
      <c r="D2">
        <v>4.4999999999999998E-2</v>
      </c>
      <c r="E2" t="e">
        <f xml:space="preserve"> D2*J13</f>
        <v>#VALUE!</v>
      </c>
      <c r="F2" t="e">
        <f>ROUNDUP(E2/C2, 0)</f>
        <v>#VALUE!</v>
      </c>
      <c r="G2" t="e">
        <f>B2*F2</f>
        <v>#VALUE!</v>
      </c>
    </row>
    <row r="3" spans="1:10" x14ac:dyDescent="0.3">
      <c r="A3" t="s">
        <v>7</v>
      </c>
      <c r="B3">
        <v>0</v>
      </c>
      <c r="D3">
        <v>0.09</v>
      </c>
      <c r="E3" t="e">
        <f xml:space="preserve"> D3*J13</f>
        <v>#VALUE!</v>
      </c>
      <c r="F3" t="e">
        <f>ROUNDUP(E3,0)</f>
        <v>#VALUE!</v>
      </c>
      <c r="G3">
        <f xml:space="preserve"> 5*B3</f>
        <v>0</v>
      </c>
    </row>
    <row r="4" spans="1:10" x14ac:dyDescent="0.3">
      <c r="A4" t="s">
        <v>8</v>
      </c>
      <c r="B4">
        <v>1.83</v>
      </c>
      <c r="C4">
        <v>0.25</v>
      </c>
      <c r="D4">
        <v>2.5000000000000001E-2</v>
      </c>
      <c r="E4" t="e">
        <f>D4*J13</f>
        <v>#VALUE!</v>
      </c>
      <c r="F4" t="e">
        <f xml:space="preserve"> ROUNDUP(E4/C4,0)</f>
        <v>#VALUE!</v>
      </c>
      <c r="G4" t="e">
        <f>F4*B4</f>
        <v>#VALUE!</v>
      </c>
    </row>
    <row r="5" spans="1:10" x14ac:dyDescent="0.3">
      <c r="A5" t="s">
        <v>12</v>
      </c>
      <c r="G5">
        <f>J15*0.06*3.49</f>
        <v>1.0469999999999999</v>
      </c>
    </row>
    <row r="6" spans="1:10" x14ac:dyDescent="0.3">
      <c r="A6" t="s">
        <v>13</v>
      </c>
      <c r="G6">
        <v>1.39</v>
      </c>
    </row>
    <row r="7" spans="1:10" x14ac:dyDescent="0.3">
      <c r="A7" t="s">
        <v>14</v>
      </c>
      <c r="C7">
        <v>2</v>
      </c>
      <c r="E7" t="e">
        <f>J13*2/50</f>
        <v>#VALUE!</v>
      </c>
      <c r="F7" t="e">
        <f>ROUNDUP(E7/C7,0)</f>
        <v>#VALUE!</v>
      </c>
      <c r="G7">
        <v>1.39</v>
      </c>
    </row>
    <row r="8" spans="1:10" x14ac:dyDescent="0.3">
      <c r="G8" t="e">
        <f xml:space="preserve"> SUM(G2:G7)</f>
        <v>#VALUE!</v>
      </c>
    </row>
    <row r="12" spans="1:10" x14ac:dyDescent="0.3">
      <c r="J12" t="s">
        <v>2</v>
      </c>
    </row>
    <row r="13" spans="1:10" x14ac:dyDescent="0.3">
      <c r="J13" t="s">
        <v>15</v>
      </c>
    </row>
    <row r="14" spans="1:10" x14ac:dyDescent="0.3">
      <c r="J14" t="s">
        <v>11</v>
      </c>
    </row>
    <row r="15" spans="1:10" x14ac:dyDescent="0.3">
      <c r="J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mojito kotwarming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Halewijn Van den Bossche</dc:creator>
  <cp:lastModifiedBy>Halewijn Van den Bossche</cp:lastModifiedBy>
  <dcterms:created xsi:type="dcterms:W3CDTF">2022-10-30T09:54:27Z</dcterms:created>
  <dcterms:modified xsi:type="dcterms:W3CDTF">2022-11-08T09:05:01Z</dcterms:modified>
</cp:coreProperties>
</file>